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na.MEDCTMA9A25246\Desktop\"/>
    </mc:Choice>
  </mc:AlternateContent>
  <xr:revisionPtr revIDLastSave="0" documentId="8_{A1B785B8-CAA0-4E28-9CBA-43EBF4C106B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jercicio 1" sheetId="1" r:id="rId1"/>
    <sheet name="solucion 1" sheetId="2" r:id="rId2"/>
    <sheet name="ejercicio 2" sheetId="3" r:id="rId3"/>
    <sheet name="solucion 2" sheetId="4" r:id="rId4"/>
  </sheets>
  <definedNames>
    <definedName name="OLE_LINK1" localSheetId="0">'ejercicio 1'!$G$4</definedName>
    <definedName name="OLE_LINK1" localSheetId="2">'ejercicio 2'!$G$4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4" l="1"/>
  <c r="G30" i="4"/>
  <c r="G29" i="4"/>
  <c r="G28" i="4"/>
  <c r="G27" i="4"/>
  <c r="G26" i="4"/>
  <c r="G25" i="4"/>
  <c r="G24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8" i="4"/>
  <c r="G7" i="4"/>
  <c r="G6" i="4"/>
  <c r="G5" i="4"/>
  <c r="G4" i="4"/>
  <c r="G3" i="4"/>
  <c r="G31" i="2"/>
  <c r="G30" i="2"/>
  <c r="G29" i="2"/>
  <c r="G28" i="2"/>
  <c r="G27" i="2"/>
  <c r="G26" i="2"/>
  <c r="G25" i="2"/>
  <c r="G24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8" i="2"/>
  <c r="G7" i="2"/>
  <c r="G6" i="2"/>
  <c r="G3" i="2"/>
  <c r="G5" i="2" s="1"/>
  <c r="G4" i="2"/>
</calcChain>
</file>

<file path=xl/sharedStrings.xml><?xml version="1.0" encoding="utf-8"?>
<sst xmlns="http://schemas.openxmlformats.org/spreadsheetml/2006/main" count="100" uniqueCount="46">
  <si>
    <t>Descripción</t>
  </si>
  <si>
    <t>valor</t>
  </si>
  <si>
    <t>Precio unitario</t>
  </si>
  <si>
    <t>Inventario final de productos en proceso</t>
  </si>
  <si>
    <t>Inventario final de materiales directo</t>
  </si>
  <si>
    <t>Inventario inicial de productos en proceso</t>
  </si>
  <si>
    <t>Inventario inicial de materiales directo</t>
  </si>
  <si>
    <t>Mano de obra indirecta</t>
  </si>
  <si>
    <t>Gastos de administración</t>
  </si>
  <si>
    <t>Gasto de venta</t>
  </si>
  <si>
    <t>Mano de obra directa</t>
  </si>
  <si>
    <t>Inventario final de productos terminado</t>
  </si>
  <si>
    <t>Unidades vendidas</t>
  </si>
  <si>
    <t>impuesto</t>
  </si>
  <si>
    <t>Compra de materiales directo</t>
  </si>
  <si>
    <t>Materiales indirecto</t>
  </si>
  <si>
    <t>Otros CIF</t>
  </si>
  <si>
    <t>Inventario inicial de productos terminado</t>
  </si>
  <si>
    <t>Costos de materiales directos</t>
  </si>
  <si>
    <t>costo del inventario inicial de materiales directos</t>
  </si>
  <si>
    <t>+ compras de materiales directo</t>
  </si>
  <si>
    <t>- costo inventario final de materiales directos</t>
  </si>
  <si>
    <t>Costos indirecto de fabricación CIF</t>
  </si>
  <si>
    <t>Materiales indirectos</t>
  </si>
  <si>
    <t>Otros costos indirectos de fabricación</t>
  </si>
  <si>
    <t>+ inventario inicial de productos en proceso</t>
  </si>
  <si>
    <t>- inventario final de productos en proceso</t>
  </si>
  <si>
    <t>+ inventario inicial de productos terminado</t>
  </si>
  <si>
    <t>- inventario final de productos terminado</t>
  </si>
  <si>
    <t>costos de materiales directos disponible para su uso</t>
  </si>
  <si>
    <t>costos de materiales directo usados</t>
  </si>
  <si>
    <t>costos indirecto de fabricación CIF</t>
  </si>
  <si>
    <t>costo de producción</t>
  </si>
  <si>
    <t>costos de producción en procesos</t>
  </si>
  <si>
    <t>costos de productos manufacturados</t>
  </si>
  <si>
    <t>costo de producto disponible para la venta</t>
  </si>
  <si>
    <t>costo de productos manufacturados y vendidos (CMV)</t>
  </si>
  <si>
    <t>Utilidad bruta</t>
  </si>
  <si>
    <t>(-) gasto de administración</t>
  </si>
  <si>
    <t>(-) gasto venta</t>
  </si>
  <si>
    <t>Utilidad operacional</t>
  </si>
  <si>
    <t>(-) impuesto 30%</t>
  </si>
  <si>
    <t>Utilidad neta</t>
  </si>
  <si>
    <t xml:space="preserve">Venta  </t>
  </si>
  <si>
    <t>Ejercicio práctico: una empresa fabrica y comercializa productos de consumo masivo. Con la información que aparece a continuación se debe construir el estado de costo del producto manufacturado y vendido y el estado de resultado.</t>
  </si>
  <si>
    <t>Ejercicio 2: una empresa fabrica y comercializa bolsos. Con la información que aparece a continuación se debe construir el estado de costo del producto manufacturado y vendido y el estado de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</si>
</sst>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6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6" fontId="2" fillId="2" borderId="1" xfId="0" applyNumberFormat="1" applyFont="1" applyFill="1" applyBorder="1" applyAlignment="1">
      <alignment horizontal="center"/>
    </xf>
    <xf numFmtId="6" fontId="3" fillId="0" borderId="1" xfId="0" applyNumberFormat="1" applyFont="1" applyBorder="1"/>
    <xf numFmtId="3" fontId="3" fillId="0" borderId="1" xfId="0" applyNumberFormat="1" applyFont="1" applyBorder="1"/>
    <xf numFmtId="9" fontId="3" fillId="0" borderId="1" xfId="0" applyNumberFormat="1" applyFont="1" applyBorder="1"/>
    <xf numFmtId="3" fontId="2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H23"/>
  <sheetViews>
    <sheetView topLeftCell="A4" workbookViewId="0">
      <selection activeCell="G18" sqref="G18"/>
    </sheetView>
  </sheetViews>
  <sheetFormatPr baseColWidth="10" defaultRowHeight="15" x14ac:dyDescent="0.25"/>
  <cols>
    <col min="6" max="6" width="41.28515625" customWidth="1"/>
    <col min="7" max="7" width="30.28515625" customWidth="1"/>
    <col min="8" max="8" width="12.5703125" bestFit="1" customWidth="1"/>
    <col min="12" max="12" width="63.5703125" bestFit="1" customWidth="1"/>
    <col min="13" max="13" width="30.42578125" customWidth="1"/>
    <col min="14" max="14" width="12.5703125" customWidth="1"/>
    <col min="15" max="15" width="13.28515625" customWidth="1"/>
    <col min="16" max="16" width="62.42578125" bestFit="1" customWidth="1"/>
    <col min="17" max="17" width="36.140625" customWidth="1"/>
  </cols>
  <sheetData>
    <row r="2" spans="6:8" ht="15.75" customHeight="1" x14ac:dyDescent="0.25">
      <c r="F2" s="13" t="s">
        <v>44</v>
      </c>
      <c r="G2" s="13"/>
      <c r="H2" s="13"/>
    </row>
    <row r="3" spans="6:8" x14ac:dyDescent="0.25">
      <c r="F3" s="13"/>
      <c r="G3" s="13"/>
      <c r="H3" s="13"/>
    </row>
    <row r="4" spans="6:8" ht="18.75" customHeight="1" x14ac:dyDescent="0.25">
      <c r="F4" s="13"/>
      <c r="G4" s="13"/>
      <c r="H4" s="13"/>
    </row>
    <row r="6" spans="6:8" ht="15.75" x14ac:dyDescent="0.25">
      <c r="F6" s="2" t="s">
        <v>0</v>
      </c>
      <c r="G6" s="2" t="s">
        <v>1</v>
      </c>
    </row>
    <row r="7" spans="6:8" ht="26.25" customHeight="1" x14ac:dyDescent="0.25">
      <c r="F7" s="5" t="s">
        <v>2</v>
      </c>
      <c r="G7" s="9">
        <v>8</v>
      </c>
    </row>
    <row r="8" spans="6:8" ht="15.75" x14ac:dyDescent="0.25">
      <c r="F8" s="5" t="s">
        <v>3</v>
      </c>
      <c r="G8" s="9">
        <v>13000</v>
      </c>
    </row>
    <row r="9" spans="6:8" ht="15.75" x14ac:dyDescent="0.25">
      <c r="F9" s="5" t="s">
        <v>4</v>
      </c>
      <c r="G9" s="9">
        <v>13000</v>
      </c>
    </row>
    <row r="10" spans="6:8" ht="15.75" x14ac:dyDescent="0.25">
      <c r="F10" s="5" t="s">
        <v>5</v>
      </c>
      <c r="G10" s="9">
        <v>14000</v>
      </c>
    </row>
    <row r="11" spans="6:8" ht="15.75" x14ac:dyDescent="0.25">
      <c r="F11" s="5" t="s">
        <v>6</v>
      </c>
      <c r="G11" s="9">
        <v>15000</v>
      </c>
    </row>
    <row r="12" spans="6:8" ht="15.75" x14ac:dyDescent="0.25">
      <c r="F12" s="5" t="s">
        <v>7</v>
      </c>
      <c r="G12" s="9">
        <v>80000</v>
      </c>
    </row>
    <row r="13" spans="6:8" ht="15.75" x14ac:dyDescent="0.25">
      <c r="F13" s="5" t="s">
        <v>8</v>
      </c>
      <c r="G13" s="9">
        <v>48000</v>
      </c>
    </row>
    <row r="14" spans="6:8" ht="15.75" x14ac:dyDescent="0.25">
      <c r="F14" s="5" t="s">
        <v>9</v>
      </c>
      <c r="G14" s="9">
        <v>125000</v>
      </c>
    </row>
    <row r="15" spans="6:8" ht="15.75" x14ac:dyDescent="0.25">
      <c r="F15" s="5" t="s">
        <v>10</v>
      </c>
      <c r="G15" s="9">
        <v>75000</v>
      </c>
    </row>
    <row r="16" spans="6:8" ht="15.75" x14ac:dyDescent="0.25">
      <c r="F16" s="5" t="s">
        <v>11</v>
      </c>
      <c r="G16" s="9">
        <v>90000</v>
      </c>
    </row>
    <row r="17" spans="6:7" ht="15.75" x14ac:dyDescent="0.25">
      <c r="F17" s="5" t="s">
        <v>12</v>
      </c>
      <c r="G17" s="10">
        <v>130000</v>
      </c>
    </row>
    <row r="18" spans="6:7" ht="15.75" x14ac:dyDescent="0.25">
      <c r="F18" s="5" t="s">
        <v>13</v>
      </c>
      <c r="G18" s="11">
        <v>0.3</v>
      </c>
    </row>
    <row r="19" spans="6:7" ht="15.75" x14ac:dyDescent="0.25">
      <c r="F19" s="5" t="s">
        <v>14</v>
      </c>
      <c r="G19" s="9">
        <v>138000</v>
      </c>
    </row>
    <row r="20" spans="6:7" ht="15.75" x14ac:dyDescent="0.25">
      <c r="F20" s="5" t="s">
        <v>15</v>
      </c>
      <c r="G20" s="9">
        <v>1500</v>
      </c>
    </row>
    <row r="21" spans="6:7" ht="15.75" x14ac:dyDescent="0.25">
      <c r="F21" s="5" t="s">
        <v>16</v>
      </c>
      <c r="G21" s="9">
        <v>41000</v>
      </c>
    </row>
    <row r="22" spans="6:7" ht="15.75" x14ac:dyDescent="0.25">
      <c r="F22" s="5" t="s">
        <v>17</v>
      </c>
      <c r="G22" s="9">
        <v>80000</v>
      </c>
    </row>
    <row r="23" spans="6:7" ht="18.75" x14ac:dyDescent="0.3">
      <c r="F23" s="1"/>
      <c r="G23" s="1"/>
    </row>
  </sheetData>
  <mergeCells count="1">
    <mergeCell ref="F2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56DB-28C4-47A5-80E2-99957D868565}">
  <dimension ref="F1:G31"/>
  <sheetViews>
    <sheetView topLeftCell="A7" workbookViewId="0">
      <selection activeCell="G32" sqref="G32"/>
    </sheetView>
  </sheetViews>
  <sheetFormatPr baseColWidth="10" defaultRowHeight="15" x14ac:dyDescent="0.25"/>
  <cols>
    <col min="6" max="6" width="63.5703125" bestFit="1" customWidth="1"/>
    <col min="7" max="7" width="15.42578125" customWidth="1"/>
  </cols>
  <sheetData>
    <row r="1" spans="6:7" ht="15.75" x14ac:dyDescent="0.25">
      <c r="F1" s="2" t="s">
        <v>0</v>
      </c>
      <c r="G1" s="2" t="s">
        <v>1</v>
      </c>
    </row>
    <row r="2" spans="6:7" ht="15.75" x14ac:dyDescent="0.25">
      <c r="F2" s="7" t="s">
        <v>18</v>
      </c>
      <c r="G2" s="3"/>
    </row>
    <row r="3" spans="6:7" ht="15.75" x14ac:dyDescent="0.25">
      <c r="F3" s="3" t="s">
        <v>19</v>
      </c>
      <c r="G3" s="4">
        <f>'ejercicio 1'!G11</f>
        <v>15000</v>
      </c>
    </row>
    <row r="4" spans="6:7" ht="15.75" x14ac:dyDescent="0.25">
      <c r="F4" s="3" t="s">
        <v>20</v>
      </c>
      <c r="G4" s="4">
        <f>'ejercicio 1'!G19</f>
        <v>138000</v>
      </c>
    </row>
    <row r="5" spans="6:7" ht="15.75" x14ac:dyDescent="0.25">
      <c r="F5" s="3" t="s">
        <v>29</v>
      </c>
      <c r="G5" s="4">
        <f>G3+G4</f>
        <v>153000</v>
      </c>
    </row>
    <row r="6" spans="6:7" ht="15.75" x14ac:dyDescent="0.25">
      <c r="F6" s="3" t="s">
        <v>21</v>
      </c>
      <c r="G6" s="4">
        <f>'ejercicio 1'!G9</f>
        <v>13000</v>
      </c>
    </row>
    <row r="7" spans="6:7" ht="15.75" x14ac:dyDescent="0.25">
      <c r="F7" s="7" t="s">
        <v>30</v>
      </c>
      <c r="G7" s="8">
        <f>G5-G6</f>
        <v>140000</v>
      </c>
    </row>
    <row r="8" spans="6:7" ht="15.75" x14ac:dyDescent="0.25">
      <c r="F8" s="7" t="s">
        <v>10</v>
      </c>
      <c r="G8" s="8">
        <f>'ejercicio 1'!G15</f>
        <v>75000</v>
      </c>
    </row>
    <row r="9" spans="6:7" ht="15.75" x14ac:dyDescent="0.25">
      <c r="F9" s="7" t="s">
        <v>22</v>
      </c>
      <c r="G9" s="2"/>
    </row>
    <row r="10" spans="6:7" ht="15.75" x14ac:dyDescent="0.25">
      <c r="F10" s="3" t="s">
        <v>23</v>
      </c>
      <c r="G10" s="4">
        <f>'ejercicio 1'!G20</f>
        <v>1500</v>
      </c>
    </row>
    <row r="11" spans="6:7" ht="15.75" x14ac:dyDescent="0.25">
      <c r="F11" s="3" t="s">
        <v>7</v>
      </c>
      <c r="G11" s="4">
        <f>'ejercicio 1'!G12</f>
        <v>80000</v>
      </c>
    </row>
    <row r="12" spans="6:7" ht="15.75" x14ac:dyDescent="0.25">
      <c r="F12" s="3" t="s">
        <v>24</v>
      </c>
      <c r="G12" s="4">
        <f>'ejercicio 1'!G21</f>
        <v>41000</v>
      </c>
    </row>
    <row r="13" spans="6:7" ht="15.75" x14ac:dyDescent="0.25">
      <c r="F13" s="7" t="s">
        <v>31</v>
      </c>
      <c r="G13" s="8">
        <f>SUM(G10:G12)</f>
        <v>122500</v>
      </c>
    </row>
    <row r="14" spans="6:7" ht="15.75" x14ac:dyDescent="0.25">
      <c r="F14" s="7" t="s">
        <v>32</v>
      </c>
      <c r="G14" s="8">
        <f>G7+G8+G13</f>
        <v>337500</v>
      </c>
    </row>
    <row r="15" spans="6:7" ht="15.75" x14ac:dyDescent="0.25">
      <c r="F15" s="3" t="s">
        <v>25</v>
      </c>
      <c r="G15" s="4">
        <f>'ejercicio 1'!G10</f>
        <v>14000</v>
      </c>
    </row>
    <row r="16" spans="6:7" ht="15.75" x14ac:dyDescent="0.25">
      <c r="F16" s="7" t="s">
        <v>33</v>
      </c>
      <c r="G16" s="8">
        <f>G14+G15</f>
        <v>351500</v>
      </c>
    </row>
    <row r="17" spans="6:7" ht="15.75" x14ac:dyDescent="0.25">
      <c r="F17" s="3" t="s">
        <v>26</v>
      </c>
      <c r="G17" s="4">
        <f>'ejercicio 1'!G8</f>
        <v>13000</v>
      </c>
    </row>
    <row r="18" spans="6:7" ht="15.75" x14ac:dyDescent="0.25">
      <c r="F18" s="7" t="s">
        <v>34</v>
      </c>
      <c r="G18" s="8">
        <f>G16-'ejercicio 1'!G8</f>
        <v>338500</v>
      </c>
    </row>
    <row r="19" spans="6:7" ht="15.75" x14ac:dyDescent="0.25">
      <c r="F19" s="3" t="s">
        <v>27</v>
      </c>
      <c r="G19" s="4">
        <f>'ejercicio 1'!G22</f>
        <v>80000</v>
      </c>
    </row>
    <row r="20" spans="6:7" ht="15.75" x14ac:dyDescent="0.25">
      <c r="F20" s="7" t="s">
        <v>35</v>
      </c>
      <c r="G20" s="8">
        <f>G18+G19</f>
        <v>418500</v>
      </c>
    </row>
    <row r="21" spans="6:7" ht="15.75" x14ac:dyDescent="0.25">
      <c r="F21" s="3" t="s">
        <v>28</v>
      </c>
      <c r="G21" s="4">
        <f>'ejercicio 1'!G16</f>
        <v>90000</v>
      </c>
    </row>
    <row r="22" spans="6:7" ht="15.75" x14ac:dyDescent="0.25">
      <c r="F22" s="6" t="s">
        <v>36</v>
      </c>
      <c r="G22" s="8">
        <f>G20-G21</f>
        <v>328500</v>
      </c>
    </row>
    <row r="24" spans="6:7" ht="15.75" x14ac:dyDescent="0.25">
      <c r="F24" s="7" t="s">
        <v>43</v>
      </c>
      <c r="G24" s="8">
        <f>'ejercicio 1'!G17*'ejercicio 1'!G7</f>
        <v>1040000</v>
      </c>
    </row>
    <row r="25" spans="6:7" ht="15.75" x14ac:dyDescent="0.25">
      <c r="F25" s="3" t="s">
        <v>36</v>
      </c>
      <c r="G25" s="4">
        <f>G22</f>
        <v>328500</v>
      </c>
    </row>
    <row r="26" spans="6:7" ht="15.75" x14ac:dyDescent="0.25">
      <c r="F26" s="7" t="s">
        <v>37</v>
      </c>
      <c r="G26" s="8">
        <f>G24-G25</f>
        <v>711500</v>
      </c>
    </row>
    <row r="27" spans="6:7" ht="15.75" x14ac:dyDescent="0.25">
      <c r="F27" s="3" t="s">
        <v>38</v>
      </c>
      <c r="G27" s="4">
        <f>'ejercicio 1'!G13</f>
        <v>48000</v>
      </c>
    </row>
    <row r="28" spans="6:7" ht="15.75" x14ac:dyDescent="0.25">
      <c r="F28" s="3" t="s">
        <v>39</v>
      </c>
      <c r="G28" s="4">
        <f>'ejercicio 1'!G14</f>
        <v>125000</v>
      </c>
    </row>
    <row r="29" spans="6:7" ht="15.75" x14ac:dyDescent="0.25">
      <c r="F29" s="7" t="s">
        <v>40</v>
      </c>
      <c r="G29" s="8">
        <f>G26-G27-G28</f>
        <v>538500</v>
      </c>
    </row>
    <row r="30" spans="6:7" ht="15.75" x14ac:dyDescent="0.25">
      <c r="F30" s="3" t="s">
        <v>41</v>
      </c>
      <c r="G30" s="4">
        <f>G29*'ejercicio 1'!G18</f>
        <v>161550</v>
      </c>
    </row>
    <row r="31" spans="6:7" ht="15.75" x14ac:dyDescent="0.25">
      <c r="F31" s="7" t="s">
        <v>42</v>
      </c>
      <c r="G31" s="12">
        <f>G29-G30</f>
        <v>376950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3417-72F2-4209-94A7-83FA04D4E5A3}">
  <dimension ref="F2:H23"/>
  <sheetViews>
    <sheetView workbookViewId="0">
      <selection activeCell="I12" sqref="I12"/>
    </sheetView>
  </sheetViews>
  <sheetFormatPr baseColWidth="10" defaultRowHeight="15" x14ac:dyDescent="0.25"/>
  <cols>
    <col min="6" max="6" width="41.28515625" customWidth="1"/>
    <col min="7" max="7" width="30.28515625" customWidth="1"/>
    <col min="8" max="8" width="12.5703125" bestFit="1" customWidth="1"/>
    <col min="12" max="12" width="63.5703125" bestFit="1" customWidth="1"/>
    <col min="13" max="13" width="30.42578125" customWidth="1"/>
    <col min="14" max="14" width="12.5703125" customWidth="1"/>
    <col min="15" max="15" width="13.28515625" customWidth="1"/>
    <col min="16" max="16" width="62.42578125" bestFit="1" customWidth="1"/>
    <col min="17" max="17" width="36.140625" customWidth="1"/>
  </cols>
  <sheetData>
    <row r="2" spans="6:8" ht="15.75" customHeight="1" x14ac:dyDescent="0.25">
      <c r="F2" s="13" t="s">
        <v>45</v>
      </c>
      <c r="G2" s="13"/>
      <c r="H2" s="13"/>
    </row>
    <row r="3" spans="6:8" x14ac:dyDescent="0.25">
      <c r="F3" s="13"/>
      <c r="G3" s="13"/>
      <c r="H3" s="13"/>
    </row>
    <row r="4" spans="6:8" ht="18.75" customHeight="1" x14ac:dyDescent="0.25">
      <c r="F4" s="13"/>
      <c r="G4" s="13"/>
      <c r="H4" s="13"/>
    </row>
    <row r="6" spans="6:8" ht="15.75" x14ac:dyDescent="0.25">
      <c r="F6" s="2" t="s">
        <v>0</v>
      </c>
      <c r="G6" s="2" t="s">
        <v>1</v>
      </c>
    </row>
    <row r="7" spans="6:8" ht="26.25" customHeight="1" x14ac:dyDescent="0.25">
      <c r="F7" s="5" t="s">
        <v>2</v>
      </c>
      <c r="G7" s="9">
        <v>5</v>
      </c>
    </row>
    <row r="8" spans="6:8" ht="15.75" x14ac:dyDescent="0.25">
      <c r="F8" s="5" t="s">
        <v>3</v>
      </c>
      <c r="G8" s="9">
        <v>18000</v>
      </c>
    </row>
    <row r="9" spans="6:8" ht="15.75" x14ac:dyDescent="0.25">
      <c r="F9" s="5" t="s">
        <v>4</v>
      </c>
      <c r="G9" s="9">
        <v>16000</v>
      </c>
    </row>
    <row r="10" spans="6:8" ht="15.75" x14ac:dyDescent="0.25">
      <c r="F10" s="5" t="s">
        <v>5</v>
      </c>
      <c r="G10" s="9">
        <v>10000</v>
      </c>
    </row>
    <row r="11" spans="6:8" ht="15.75" x14ac:dyDescent="0.25">
      <c r="F11" s="5" t="s">
        <v>6</v>
      </c>
      <c r="G11" s="9">
        <v>12000</v>
      </c>
    </row>
    <row r="12" spans="6:8" ht="15.75" x14ac:dyDescent="0.25">
      <c r="F12" s="5" t="s">
        <v>7</v>
      </c>
      <c r="G12" s="9">
        <v>110000</v>
      </c>
    </row>
    <row r="13" spans="6:8" ht="15.75" x14ac:dyDescent="0.25">
      <c r="F13" s="5" t="s">
        <v>8</v>
      </c>
      <c r="G13" s="9">
        <v>20000</v>
      </c>
    </row>
    <row r="14" spans="6:8" ht="15.75" x14ac:dyDescent="0.25">
      <c r="F14" s="5" t="s">
        <v>9</v>
      </c>
      <c r="G14" s="9">
        <v>78000</v>
      </c>
    </row>
    <row r="15" spans="6:8" ht="15.75" x14ac:dyDescent="0.25">
      <c r="F15" s="5" t="s">
        <v>10</v>
      </c>
      <c r="G15" s="9">
        <v>90000</v>
      </c>
    </row>
    <row r="16" spans="6:8" ht="15.75" x14ac:dyDescent="0.25">
      <c r="F16" s="5" t="s">
        <v>11</v>
      </c>
      <c r="G16" s="9">
        <v>100000</v>
      </c>
    </row>
    <row r="17" spans="6:7" ht="15.75" x14ac:dyDescent="0.25">
      <c r="F17" s="5" t="s">
        <v>12</v>
      </c>
      <c r="G17" s="10">
        <v>150000</v>
      </c>
    </row>
    <row r="18" spans="6:7" ht="15.75" x14ac:dyDescent="0.25">
      <c r="F18" s="5" t="s">
        <v>13</v>
      </c>
      <c r="G18" s="11">
        <v>0.3</v>
      </c>
    </row>
    <row r="19" spans="6:7" ht="15.75" x14ac:dyDescent="0.25">
      <c r="F19" s="5" t="s">
        <v>14</v>
      </c>
      <c r="G19" s="9">
        <v>145000</v>
      </c>
    </row>
    <row r="20" spans="6:7" ht="15.75" x14ac:dyDescent="0.25">
      <c r="F20" s="5" t="s">
        <v>15</v>
      </c>
      <c r="G20" s="9">
        <v>8000</v>
      </c>
    </row>
    <row r="21" spans="6:7" ht="15.75" x14ac:dyDescent="0.25">
      <c r="F21" s="5" t="s">
        <v>16</v>
      </c>
      <c r="G21" s="9">
        <v>40000</v>
      </c>
    </row>
    <row r="22" spans="6:7" ht="15.75" x14ac:dyDescent="0.25">
      <c r="F22" s="5" t="s">
        <v>17</v>
      </c>
      <c r="G22" s="9">
        <v>66000</v>
      </c>
    </row>
    <row r="23" spans="6:7" ht="18.75" x14ac:dyDescent="0.3">
      <c r="F23" s="1"/>
      <c r="G23" s="1"/>
    </row>
  </sheetData>
  <mergeCells count="1">
    <mergeCell ref="F2:H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5E8E-9F37-4AAE-BA90-F8D0EA3B1A79}">
  <dimension ref="F1:G31"/>
  <sheetViews>
    <sheetView tabSelected="1" workbookViewId="0">
      <selection activeCell="G32" sqref="G32"/>
    </sheetView>
  </sheetViews>
  <sheetFormatPr baseColWidth="10" defaultRowHeight="15" x14ac:dyDescent="0.25"/>
  <cols>
    <col min="6" max="6" width="63.5703125" bestFit="1" customWidth="1"/>
    <col min="7" max="7" width="15.42578125" customWidth="1"/>
  </cols>
  <sheetData>
    <row r="1" spans="6:7" ht="15.75" x14ac:dyDescent="0.25">
      <c r="F1" s="2" t="s">
        <v>0</v>
      </c>
      <c r="G1" s="2" t="s">
        <v>1</v>
      </c>
    </row>
    <row r="2" spans="6:7" ht="15.75" x14ac:dyDescent="0.25">
      <c r="F2" s="7" t="s">
        <v>18</v>
      </c>
      <c r="G2" s="3"/>
    </row>
    <row r="3" spans="6:7" ht="15.75" x14ac:dyDescent="0.25">
      <c r="F3" s="3" t="s">
        <v>19</v>
      </c>
      <c r="G3" s="4">
        <f>'ejercicio 2'!G11</f>
        <v>12000</v>
      </c>
    </row>
    <row r="4" spans="6:7" ht="15.75" x14ac:dyDescent="0.25">
      <c r="F4" s="3" t="s">
        <v>20</v>
      </c>
      <c r="G4" s="4">
        <f>'ejercicio 2'!G19</f>
        <v>145000</v>
      </c>
    </row>
    <row r="5" spans="6:7" ht="15.75" x14ac:dyDescent="0.25">
      <c r="F5" s="3" t="s">
        <v>29</v>
      </c>
      <c r="G5" s="4">
        <f>G3+G4</f>
        <v>157000</v>
      </c>
    </row>
    <row r="6" spans="6:7" ht="15.75" x14ac:dyDescent="0.25">
      <c r="F6" s="3" t="s">
        <v>21</v>
      </c>
      <c r="G6" s="4">
        <f>'ejercicio 2'!G9</f>
        <v>16000</v>
      </c>
    </row>
    <row r="7" spans="6:7" ht="15.75" x14ac:dyDescent="0.25">
      <c r="F7" s="7" t="s">
        <v>30</v>
      </c>
      <c r="G7" s="8">
        <f>G5-G6</f>
        <v>141000</v>
      </c>
    </row>
    <row r="8" spans="6:7" ht="15.75" x14ac:dyDescent="0.25">
      <c r="F8" s="7" t="s">
        <v>10</v>
      </c>
      <c r="G8" s="8">
        <f>'ejercicio 2'!G15</f>
        <v>90000</v>
      </c>
    </row>
    <row r="9" spans="6:7" ht="15.75" x14ac:dyDescent="0.25">
      <c r="F9" s="7" t="s">
        <v>22</v>
      </c>
      <c r="G9" s="2"/>
    </row>
    <row r="10" spans="6:7" ht="15.75" x14ac:dyDescent="0.25">
      <c r="F10" s="3" t="s">
        <v>23</v>
      </c>
      <c r="G10" s="4">
        <f>'ejercicio 2'!G20</f>
        <v>8000</v>
      </c>
    </row>
    <row r="11" spans="6:7" ht="15.75" x14ac:dyDescent="0.25">
      <c r="F11" s="3" t="s">
        <v>7</v>
      </c>
      <c r="G11" s="4">
        <f>'ejercicio 2'!G12</f>
        <v>110000</v>
      </c>
    </row>
    <row r="12" spans="6:7" ht="15.75" x14ac:dyDescent="0.25">
      <c r="F12" s="3" t="s">
        <v>24</v>
      </c>
      <c r="G12" s="4">
        <f>'ejercicio 2'!G21</f>
        <v>40000</v>
      </c>
    </row>
    <row r="13" spans="6:7" ht="15.75" x14ac:dyDescent="0.25">
      <c r="F13" s="7" t="s">
        <v>31</v>
      </c>
      <c r="G13" s="8">
        <f>SUM(G10+G11+G12)</f>
        <v>158000</v>
      </c>
    </row>
    <row r="14" spans="6:7" ht="15.75" x14ac:dyDescent="0.25">
      <c r="F14" s="7" t="s">
        <v>32</v>
      </c>
      <c r="G14" s="8">
        <f>G7+G8+G13</f>
        <v>389000</v>
      </c>
    </row>
    <row r="15" spans="6:7" ht="15.75" x14ac:dyDescent="0.25">
      <c r="F15" s="3" t="s">
        <v>25</v>
      </c>
      <c r="G15" s="4">
        <f>'ejercicio 2'!G10</f>
        <v>10000</v>
      </c>
    </row>
    <row r="16" spans="6:7" ht="15.75" x14ac:dyDescent="0.25">
      <c r="F16" s="7" t="s">
        <v>33</v>
      </c>
      <c r="G16" s="8">
        <f>G14+G15</f>
        <v>399000</v>
      </c>
    </row>
    <row r="17" spans="6:7" ht="15.75" x14ac:dyDescent="0.25">
      <c r="F17" s="3" t="s">
        <v>26</v>
      </c>
      <c r="G17" s="4">
        <f>'ejercicio 2'!G8</f>
        <v>18000</v>
      </c>
    </row>
    <row r="18" spans="6:7" ht="15.75" x14ac:dyDescent="0.25">
      <c r="F18" s="7" t="s">
        <v>34</v>
      </c>
      <c r="G18" s="8">
        <f>G16-G17</f>
        <v>381000</v>
      </c>
    </row>
    <row r="19" spans="6:7" ht="15.75" x14ac:dyDescent="0.25">
      <c r="F19" s="3" t="s">
        <v>27</v>
      </c>
      <c r="G19" s="4">
        <f>'ejercicio 2'!G22</f>
        <v>66000</v>
      </c>
    </row>
    <row r="20" spans="6:7" ht="15.75" x14ac:dyDescent="0.25">
      <c r="F20" s="7" t="s">
        <v>35</v>
      </c>
      <c r="G20" s="8">
        <f>G18+G19</f>
        <v>447000</v>
      </c>
    </row>
    <row r="21" spans="6:7" ht="15.75" x14ac:dyDescent="0.25">
      <c r="F21" s="3" t="s">
        <v>28</v>
      </c>
      <c r="G21" s="4">
        <f>'ejercicio 2'!G16</f>
        <v>100000</v>
      </c>
    </row>
    <row r="22" spans="6:7" ht="15.75" x14ac:dyDescent="0.25">
      <c r="F22" s="6" t="s">
        <v>36</v>
      </c>
      <c r="G22" s="8">
        <f>G20-G21</f>
        <v>347000</v>
      </c>
    </row>
    <row r="24" spans="6:7" ht="15.75" x14ac:dyDescent="0.25">
      <c r="F24" s="7" t="s">
        <v>43</v>
      </c>
      <c r="G24" s="8">
        <f>'ejercicio 2'!G17*'ejercicio 2'!G7</f>
        <v>750000</v>
      </c>
    </row>
    <row r="25" spans="6:7" ht="15.75" x14ac:dyDescent="0.25">
      <c r="F25" s="3" t="s">
        <v>36</v>
      </c>
      <c r="G25" s="4">
        <f>G22</f>
        <v>347000</v>
      </c>
    </row>
    <row r="26" spans="6:7" ht="15.75" x14ac:dyDescent="0.25">
      <c r="F26" s="7" t="s">
        <v>37</v>
      </c>
      <c r="G26" s="8">
        <f>G24-G25</f>
        <v>403000</v>
      </c>
    </row>
    <row r="27" spans="6:7" ht="15.75" x14ac:dyDescent="0.25">
      <c r="F27" s="3" t="s">
        <v>38</v>
      </c>
      <c r="G27" s="4">
        <f>'ejercicio 2'!G13</f>
        <v>20000</v>
      </c>
    </row>
    <row r="28" spans="6:7" ht="15.75" x14ac:dyDescent="0.25">
      <c r="F28" s="3" t="s">
        <v>39</v>
      </c>
      <c r="G28" s="4">
        <f>'ejercicio 2'!G14</f>
        <v>78000</v>
      </c>
    </row>
    <row r="29" spans="6:7" ht="15.75" x14ac:dyDescent="0.25">
      <c r="F29" s="7" t="s">
        <v>40</v>
      </c>
      <c r="G29" s="8">
        <f>G26-G27-G28</f>
        <v>305000</v>
      </c>
    </row>
    <row r="30" spans="6:7" ht="15.75" x14ac:dyDescent="0.25">
      <c r="F30" s="3" t="s">
        <v>41</v>
      </c>
      <c r="G30" s="4">
        <f>G29*'ejercicio 2'!G18</f>
        <v>91500</v>
      </c>
    </row>
    <row r="31" spans="6:7" ht="15.75" x14ac:dyDescent="0.25">
      <c r="F31" s="7" t="s">
        <v>42</v>
      </c>
      <c r="G31" s="12">
        <f>G29-G30</f>
        <v>213500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ejercicio 1</vt:lpstr>
      <vt:lpstr>solucion 1</vt:lpstr>
      <vt:lpstr>ejercicio 2</vt:lpstr>
      <vt:lpstr>solucion 2</vt:lpstr>
      <vt:lpstr>'ejercicio 1'!OLE_LINK1</vt:lpstr>
      <vt:lpstr>'ejercicio 2'!OLE_LINK1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9A_92041025246</cp:lastModifiedBy>
  <dcterms:created xsi:type="dcterms:W3CDTF">2023-06-26T18:59:03Z</dcterms:created>
  <dcterms:modified xsi:type="dcterms:W3CDTF">2025-11-08T16:05:51Z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2025-11-08T15:18:01Z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cc0944d4-8ca5-4506-8910-f7986bb0d1a8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