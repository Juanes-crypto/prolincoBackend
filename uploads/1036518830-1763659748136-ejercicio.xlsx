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YMISNHspe/QwaoKXKJQFvZHXwLCKAi5uYaymjcSlwPA="/>
    </ext>
  </extLst>
</workbook>
</file>

<file path=xl/sharedStrings.xml><?xml version="1.0" encoding="utf-8"?>
<sst xmlns="http://schemas.openxmlformats.org/spreadsheetml/2006/main" count="119" uniqueCount="39">
  <si>
    <t>1) la empresa compra mercancía por valor de 2.000.000, el pago se realizó en efectivo</t>
  </si>
  <si>
    <t>CODIGO</t>
  </si>
  <si>
    <t>CUENTA</t>
  </si>
  <si>
    <t>DEBITO</t>
  </si>
  <si>
    <t>CREDITO</t>
  </si>
  <si>
    <t>mercancia no fabricada por la empresa</t>
  </si>
  <si>
    <t>caja</t>
  </si>
  <si>
    <t>2) la empresa vende mercancía por valor de 5.000.000, el pago se realizó por medio de cheque.</t>
  </si>
  <si>
    <t>comercio al por mayor y menor</t>
  </si>
  <si>
    <t>banco</t>
  </si>
  <si>
    <t>3) se compra a crédito mercancía por valor de 3.000.000, el pago se realizara en 30 días</t>
  </si>
  <si>
    <t>proveedores  nacionales</t>
  </si>
  <si>
    <t>4) se vendió a crédito mercancía por valor de 6.000.000, el pago se realizara en 30 días.</t>
  </si>
  <si>
    <t>clientes</t>
  </si>
  <si>
    <t>5) se compró mercancía por valor de 8.000.000, el 20% se pagó en efectivo, y el 80% restante se pagara en 30 días</t>
  </si>
  <si>
    <t>proveedores nacionales</t>
  </si>
  <si>
    <t>6) se vendió mercancía por valor de 7.000.000, el 40% se pagó en efectivo, y el 60% restante se pagara por medio de cheque.</t>
  </si>
  <si>
    <t>7) se compró mercancía por valor de 2.000.000, el 10% se pagó con cheque, y el 90% restante se pagara en efectivo.</t>
  </si>
  <si>
    <t xml:space="preserve"> </t>
  </si>
  <si>
    <t>8) se vendió mercancía por valor de 1.000.000, el 30% se pagó con cheque, y el 70% restante se pagara en 30 días.</t>
  </si>
  <si>
    <t>cliente</t>
  </si>
  <si>
    <t>9) se compra con cheque un teléfono para uso de la empresa por valor de 500.000</t>
  </si>
  <si>
    <t>equipo de computacion y comunicaciones</t>
  </si>
  <si>
    <t>10) la empresa paga el arriendo de la bodega por valor 4.000.000, el pago se realizara en efectivo.</t>
  </si>
  <si>
    <t>arrendamientos</t>
  </si>
  <si>
    <t>11) la empresa compra maquinaria por valor de 6.000.000 el 15% se pagara en efectivo y el 85% restante se pagara en 30 días.</t>
  </si>
  <si>
    <t>maquinaria y equipo</t>
  </si>
  <si>
    <t>cuentas corrientes comerciales</t>
  </si>
  <si>
    <t>12) un socio realiza un aporte de 5.000.000 en efectivo.</t>
  </si>
  <si>
    <t>aportes sociales</t>
  </si>
  <si>
    <t>13) la empresa compra 5 camionetas para el desarrollo de sus actividades por valor de 4.000.000, el pago se realizara en 30 días</t>
  </si>
  <si>
    <t>flota y equipo de transporte</t>
  </si>
  <si>
    <t>cuentas corrientes comerciañes</t>
  </si>
  <si>
    <t>14) se compra terreno por valor de 10.000.000, el 25% se pagó en efectivo el 75% restante se pagara por medio de cheque.</t>
  </si>
  <si>
    <t>terrenos</t>
  </si>
  <si>
    <t>15) se cancela asesoría jurídica por valor de 30.000.000, el pago se realizó mediante cheque.</t>
  </si>
  <si>
    <t>honorarios</t>
  </si>
  <si>
    <t>16) la empresa cancela salarios por valor de 20.000.000, el pago se realizó en efectivo</t>
  </si>
  <si>
    <t>gastos de personas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</si>
</sst>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1" numFmtId="0" xfId="0" applyBorder="1" applyFont="1"/>
    <xf borderId="7" fillId="0" fontId="1" numFmtId="0" xfId="0" applyAlignment="1" applyBorder="1" applyFont="1">
      <alignment readingOrder="0"/>
    </xf>
    <xf borderId="7" fillId="0" fontId="1" numFmtId="3" xfId="0" applyAlignment="1" applyBorder="1" applyFont="1" applyNumberFormat="1">
      <alignment readingOrder="0"/>
    </xf>
    <xf borderId="0" fillId="0" fontId="3" numFmtId="0" xfId="0" applyFont="1"/>
    <xf borderId="7" fillId="0" fontId="1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3.14"/>
    <col customWidth="1" min="6" max="6" width="36.71"/>
    <col customWidth="1" min="7" max="7" width="18.29"/>
    <col customWidth="1" min="8" max="8" width="20.43"/>
    <col customWidth="1" min="9" max="26" width="10.71"/>
  </cols>
  <sheetData>
    <row r="1">
      <c r="E1" s="1" t="s">
        <v>0</v>
      </c>
      <c r="F1" s="2"/>
      <c r="G1" s="2"/>
      <c r="H1" s="2"/>
      <c r="I1" s="2"/>
      <c r="J1" s="2"/>
      <c r="K1" s="2"/>
      <c r="L1" s="2"/>
      <c r="M1" s="3"/>
    </row>
    <row r="2">
      <c r="E2" s="4"/>
      <c r="F2" s="5"/>
      <c r="G2" s="5"/>
      <c r="H2" s="5"/>
      <c r="I2" s="5"/>
      <c r="J2" s="5"/>
      <c r="K2" s="5"/>
      <c r="L2" s="5"/>
      <c r="M2" s="6"/>
    </row>
    <row r="4">
      <c r="E4" s="7" t="s">
        <v>1</v>
      </c>
      <c r="F4" s="7" t="s">
        <v>2</v>
      </c>
      <c r="G4" s="7" t="s">
        <v>3</v>
      </c>
      <c r="H4" s="7" t="s">
        <v>4</v>
      </c>
    </row>
    <row r="5">
      <c r="E5" s="8">
        <v>1435.0</v>
      </c>
      <c r="F5" s="8" t="s">
        <v>5</v>
      </c>
      <c r="G5" s="9">
        <v>2000000.0</v>
      </c>
      <c r="H5" s="7"/>
    </row>
    <row r="6">
      <c r="E6" s="8">
        <v>1105.0</v>
      </c>
      <c r="F6" s="8" t="s">
        <v>6</v>
      </c>
      <c r="G6" s="7"/>
      <c r="H6" s="9">
        <v>2000000.0</v>
      </c>
    </row>
    <row r="8">
      <c r="E8" s="1" t="s">
        <v>7</v>
      </c>
      <c r="F8" s="2"/>
      <c r="G8" s="2"/>
      <c r="H8" s="2"/>
      <c r="I8" s="2"/>
      <c r="J8" s="2"/>
      <c r="K8" s="2"/>
      <c r="L8" s="2"/>
      <c r="M8" s="3"/>
    </row>
    <row r="9">
      <c r="E9" s="4"/>
      <c r="F9" s="5"/>
      <c r="G9" s="5"/>
      <c r="H9" s="5"/>
      <c r="I9" s="5"/>
      <c r="J9" s="5"/>
      <c r="K9" s="5"/>
      <c r="L9" s="5"/>
      <c r="M9" s="6"/>
    </row>
    <row r="11">
      <c r="E11" s="7" t="s">
        <v>1</v>
      </c>
      <c r="F11" s="7" t="s">
        <v>2</v>
      </c>
      <c r="G11" s="7" t="s">
        <v>3</v>
      </c>
      <c r="H11" s="7" t="s">
        <v>4</v>
      </c>
    </row>
    <row r="12">
      <c r="E12" s="8">
        <v>4135.0</v>
      </c>
      <c r="F12" s="8" t="s">
        <v>8</v>
      </c>
      <c r="G12" s="7"/>
      <c r="H12" s="9">
        <v>5000000.0</v>
      </c>
    </row>
    <row r="13">
      <c r="E13" s="8">
        <v>1110.0</v>
      </c>
      <c r="F13" s="8" t="s">
        <v>9</v>
      </c>
      <c r="G13" s="9">
        <v>5000000.0</v>
      </c>
      <c r="H13" s="7"/>
    </row>
    <row r="15">
      <c r="E15" s="10" t="s">
        <v>10</v>
      </c>
    </row>
    <row r="17">
      <c r="E17" s="7" t="s">
        <v>1</v>
      </c>
      <c r="F17" s="7" t="s">
        <v>2</v>
      </c>
      <c r="G17" s="7" t="s">
        <v>3</v>
      </c>
      <c r="H17" s="7" t="s">
        <v>4</v>
      </c>
    </row>
    <row r="18">
      <c r="E18" s="8">
        <v>1435.0</v>
      </c>
      <c r="F18" s="8" t="s">
        <v>5</v>
      </c>
      <c r="G18" s="9">
        <v>3000000.0</v>
      </c>
      <c r="H18" s="7"/>
    </row>
    <row r="19">
      <c r="E19" s="8">
        <v>2205.0</v>
      </c>
      <c r="F19" s="8" t="s">
        <v>11</v>
      </c>
      <c r="G19" s="7"/>
      <c r="H19" s="9">
        <v>3000000.0</v>
      </c>
    </row>
    <row r="21" ht="15.75" customHeight="1">
      <c r="E21" s="10" t="s">
        <v>12</v>
      </c>
    </row>
    <row r="22" ht="15.75" customHeight="1"/>
    <row r="23" ht="15.75" customHeight="1">
      <c r="E23" s="7" t="s">
        <v>1</v>
      </c>
      <c r="F23" s="7" t="s">
        <v>2</v>
      </c>
      <c r="G23" s="7" t="s">
        <v>3</v>
      </c>
      <c r="H23" s="7" t="s">
        <v>4</v>
      </c>
    </row>
    <row r="24" ht="15.75" customHeight="1">
      <c r="E24" s="8">
        <v>4135.0</v>
      </c>
      <c r="F24" s="8" t="s">
        <v>8</v>
      </c>
      <c r="G24" s="7"/>
      <c r="H24" s="9">
        <v>6000000.0</v>
      </c>
    </row>
    <row r="25" ht="15.75" customHeight="1">
      <c r="E25" s="8">
        <v>1305.0</v>
      </c>
      <c r="F25" s="8" t="s">
        <v>13</v>
      </c>
      <c r="G25" s="9">
        <v>6000000.0</v>
      </c>
      <c r="H25" s="7"/>
    </row>
    <row r="26" ht="15.75" customHeight="1"/>
    <row r="27" ht="15.75" customHeight="1">
      <c r="E27" s="10" t="s">
        <v>14</v>
      </c>
    </row>
    <row r="28" ht="15.75" customHeight="1"/>
    <row r="29" ht="15.75" customHeight="1">
      <c r="E29" s="7" t="s">
        <v>1</v>
      </c>
      <c r="F29" s="7" t="s">
        <v>2</v>
      </c>
      <c r="G29" s="7" t="s">
        <v>3</v>
      </c>
      <c r="H29" s="7" t="s">
        <v>4</v>
      </c>
    </row>
    <row r="30" ht="15.75" customHeight="1">
      <c r="E30" s="8">
        <v>1435.0</v>
      </c>
      <c r="F30" s="8" t="s">
        <v>5</v>
      </c>
      <c r="G30" s="9">
        <v>8000000.0</v>
      </c>
      <c r="H30" s="7"/>
    </row>
    <row r="31" ht="15.75" customHeight="1">
      <c r="E31" s="8">
        <v>1105.0</v>
      </c>
      <c r="F31" s="8" t="s">
        <v>6</v>
      </c>
      <c r="G31" s="7"/>
      <c r="H31" s="11">
        <f>G30*20%</f>
        <v>1600000</v>
      </c>
    </row>
    <row r="32" ht="15.75" customHeight="1">
      <c r="E32" s="8">
        <v>2205.0</v>
      </c>
      <c r="F32" s="8" t="s">
        <v>15</v>
      </c>
      <c r="G32" s="7"/>
      <c r="H32" s="11">
        <f>G30*80%</f>
        <v>6400000</v>
      </c>
    </row>
    <row r="33" ht="15.75" customHeight="1"/>
    <row r="34" ht="15.75" customHeight="1">
      <c r="E34" s="10" t="s">
        <v>16</v>
      </c>
    </row>
    <row r="35" ht="15.75" customHeight="1"/>
    <row r="36" ht="15.75" customHeight="1">
      <c r="E36" s="7" t="s">
        <v>1</v>
      </c>
      <c r="F36" s="7" t="s">
        <v>2</v>
      </c>
      <c r="G36" s="7" t="s">
        <v>3</v>
      </c>
      <c r="H36" s="7" t="s">
        <v>4</v>
      </c>
    </row>
    <row r="37" ht="15.75" customHeight="1">
      <c r="E37" s="8">
        <v>4135.0</v>
      </c>
      <c r="F37" s="8" t="s">
        <v>8</v>
      </c>
      <c r="G37" s="7"/>
      <c r="H37" s="9">
        <v>7000000.0</v>
      </c>
    </row>
    <row r="38" ht="15.75" customHeight="1">
      <c r="E38" s="8">
        <v>1105.0</v>
      </c>
      <c r="F38" s="8" t="s">
        <v>6</v>
      </c>
      <c r="G38" s="11">
        <f>H37*40%</f>
        <v>2800000</v>
      </c>
      <c r="H38" s="7"/>
    </row>
    <row r="39" ht="15.75" customHeight="1">
      <c r="E39" s="8">
        <v>1110.0</v>
      </c>
      <c r="F39" s="8" t="s">
        <v>9</v>
      </c>
      <c r="G39" s="11">
        <f>H37*60%</f>
        <v>4200000</v>
      </c>
      <c r="H39" s="7"/>
    </row>
    <row r="40" ht="15.75" customHeight="1"/>
    <row r="41" ht="15.75" customHeight="1">
      <c r="E41" s="10" t="s">
        <v>17</v>
      </c>
    </row>
    <row r="42" ht="15.75" customHeight="1"/>
    <row r="43" ht="15.75" customHeight="1">
      <c r="E43" s="7" t="s">
        <v>1</v>
      </c>
      <c r="F43" s="7" t="s">
        <v>2</v>
      </c>
      <c r="G43" s="7" t="s">
        <v>3</v>
      </c>
      <c r="H43" s="7" t="s">
        <v>4</v>
      </c>
    </row>
    <row r="44" ht="15.75" customHeight="1">
      <c r="E44" s="8">
        <v>1435.0</v>
      </c>
      <c r="F44" s="8" t="s">
        <v>5</v>
      </c>
      <c r="G44" s="9">
        <v>2000000.0</v>
      </c>
      <c r="H44" s="7"/>
    </row>
    <row r="45" ht="15.75" customHeight="1">
      <c r="E45" s="8">
        <v>1110.0</v>
      </c>
      <c r="F45" s="8" t="s">
        <v>9</v>
      </c>
      <c r="G45" s="7"/>
      <c r="H45" s="11">
        <f>G44*10%</f>
        <v>200000</v>
      </c>
    </row>
    <row r="46" ht="15.75" customHeight="1">
      <c r="E46" s="8">
        <v>1105.0</v>
      </c>
      <c r="F46" s="8" t="s">
        <v>6</v>
      </c>
      <c r="G46" s="8" t="s">
        <v>18</v>
      </c>
      <c r="H46" s="11">
        <f>G44*90%</f>
        <v>1800000</v>
      </c>
    </row>
    <row r="47" ht="15.75" customHeight="1"/>
    <row r="48" ht="15.75" customHeight="1">
      <c r="E48" s="10" t="s">
        <v>19</v>
      </c>
    </row>
    <row r="49" ht="15.75" customHeight="1"/>
    <row r="50" ht="15.75" customHeight="1">
      <c r="E50" s="7" t="s">
        <v>1</v>
      </c>
      <c r="F50" s="7" t="s">
        <v>2</v>
      </c>
      <c r="G50" s="7" t="s">
        <v>3</v>
      </c>
      <c r="H50" s="7" t="s">
        <v>4</v>
      </c>
    </row>
    <row r="51" ht="15.75" customHeight="1">
      <c r="E51" s="8">
        <v>4135.0</v>
      </c>
      <c r="F51" s="8" t="s">
        <v>8</v>
      </c>
      <c r="G51" s="7"/>
      <c r="H51" s="9">
        <v>1000000.0</v>
      </c>
    </row>
    <row r="52" ht="15.75" customHeight="1">
      <c r="E52" s="8">
        <v>1110.0</v>
      </c>
      <c r="F52" s="8" t="s">
        <v>9</v>
      </c>
      <c r="G52" s="11">
        <f>H51*30%</f>
        <v>300000</v>
      </c>
      <c r="H52" s="7"/>
    </row>
    <row r="53" ht="15.75" customHeight="1">
      <c r="E53" s="8">
        <v>1305.0</v>
      </c>
      <c r="F53" s="8" t="s">
        <v>20</v>
      </c>
      <c r="G53" s="11">
        <f>H51*70%</f>
        <v>700000</v>
      </c>
      <c r="H53" s="7"/>
    </row>
    <row r="54" ht="15.75" customHeight="1"/>
    <row r="55" ht="15.75" customHeight="1">
      <c r="E55" s="10" t="s">
        <v>21</v>
      </c>
    </row>
    <row r="56" ht="15.75" customHeight="1"/>
    <row r="57" ht="15.75" customHeight="1">
      <c r="E57" s="7" t="s">
        <v>1</v>
      </c>
      <c r="F57" s="7" t="s">
        <v>2</v>
      </c>
      <c r="G57" s="7" t="s">
        <v>3</v>
      </c>
      <c r="H57" s="7" t="s">
        <v>4</v>
      </c>
    </row>
    <row r="58" ht="15.75" customHeight="1">
      <c r="E58" s="8">
        <v>1528.0</v>
      </c>
      <c r="F58" s="8" t="s">
        <v>22</v>
      </c>
      <c r="G58" s="9">
        <v>500000.0</v>
      </c>
      <c r="H58" s="8"/>
    </row>
    <row r="59" ht="15.75" customHeight="1">
      <c r="E59" s="8">
        <v>1110.0</v>
      </c>
      <c r="F59" s="8" t="s">
        <v>9</v>
      </c>
      <c r="G59" s="7"/>
      <c r="H59" s="9">
        <v>500000.0</v>
      </c>
    </row>
    <row r="60" ht="15.75" customHeight="1"/>
    <row r="61" ht="15.75" customHeight="1">
      <c r="E61" s="10" t="s">
        <v>23</v>
      </c>
    </row>
    <row r="62" ht="15.75" customHeight="1"/>
    <row r="63" ht="15.75" customHeight="1">
      <c r="E63" s="7" t="s">
        <v>1</v>
      </c>
      <c r="F63" s="7" t="s">
        <v>2</v>
      </c>
      <c r="G63" s="7" t="s">
        <v>3</v>
      </c>
      <c r="H63" s="7" t="s">
        <v>4</v>
      </c>
    </row>
    <row r="64" ht="15.75" customHeight="1">
      <c r="E64" s="8">
        <v>5120.0</v>
      </c>
      <c r="F64" s="8" t="s">
        <v>24</v>
      </c>
      <c r="G64" s="9">
        <v>4000000.0</v>
      </c>
      <c r="H64" s="8"/>
    </row>
    <row r="65" ht="15.75" customHeight="1">
      <c r="E65" s="8">
        <v>1105.0</v>
      </c>
      <c r="F65" s="8" t="s">
        <v>6</v>
      </c>
      <c r="G65" s="7"/>
      <c r="H65" s="9">
        <v>4000000.0</v>
      </c>
    </row>
    <row r="66" ht="15.75" customHeight="1"/>
    <row r="67" ht="15.75" customHeight="1">
      <c r="E67" s="10" t="s">
        <v>25</v>
      </c>
    </row>
    <row r="68" ht="15.75" customHeight="1"/>
    <row r="69" ht="15.75" customHeight="1">
      <c r="E69" s="7" t="s">
        <v>1</v>
      </c>
      <c r="F69" s="7" t="s">
        <v>2</v>
      </c>
      <c r="G69" s="7" t="s">
        <v>3</v>
      </c>
      <c r="H69" s="7" t="s">
        <v>4</v>
      </c>
    </row>
    <row r="70" ht="15.75" customHeight="1">
      <c r="E70" s="8">
        <v>1520.0</v>
      </c>
      <c r="F70" s="8" t="s">
        <v>26</v>
      </c>
      <c r="G70" s="9">
        <v>6000000.0</v>
      </c>
      <c r="H70" s="7"/>
    </row>
    <row r="71" ht="15.75" customHeight="1">
      <c r="E71" s="8">
        <v>1105.0</v>
      </c>
      <c r="F71" s="8" t="s">
        <v>6</v>
      </c>
      <c r="G71" s="7"/>
      <c r="H71" s="11">
        <f>G70*15%</f>
        <v>900000</v>
      </c>
    </row>
    <row r="72" ht="15.75" customHeight="1">
      <c r="E72" s="8">
        <v>2305.0</v>
      </c>
      <c r="F72" s="8" t="s">
        <v>27</v>
      </c>
      <c r="G72" s="7"/>
      <c r="H72" s="11">
        <f>G70*85%</f>
        <v>5100000</v>
      </c>
    </row>
    <row r="73" ht="15.75" customHeight="1"/>
    <row r="74" ht="15.75" customHeight="1">
      <c r="E74" s="10" t="s">
        <v>28</v>
      </c>
    </row>
    <row r="75" ht="15.75" customHeight="1"/>
    <row r="76" ht="15.75" customHeight="1">
      <c r="E76" s="7" t="s">
        <v>1</v>
      </c>
      <c r="F76" s="7" t="s">
        <v>2</v>
      </c>
      <c r="G76" s="7" t="s">
        <v>3</v>
      </c>
      <c r="H76" s="7" t="s">
        <v>4</v>
      </c>
    </row>
    <row r="77" ht="15.75" customHeight="1">
      <c r="E77" s="8">
        <v>3115.0</v>
      </c>
      <c r="F77" s="8" t="s">
        <v>29</v>
      </c>
      <c r="G77" s="7"/>
      <c r="H77" s="9">
        <v>5000000.0</v>
      </c>
    </row>
    <row r="78" ht="15.75" customHeight="1">
      <c r="E78" s="8">
        <v>1105.0</v>
      </c>
      <c r="F78" s="8" t="s">
        <v>6</v>
      </c>
      <c r="G78" s="9">
        <v>5000000.0</v>
      </c>
      <c r="H78" s="7"/>
    </row>
    <row r="79" ht="15.75" customHeight="1"/>
    <row r="80" ht="15.75" customHeight="1">
      <c r="E80" s="10" t="s">
        <v>30</v>
      </c>
    </row>
    <row r="81" ht="15.75" customHeight="1"/>
    <row r="82" ht="15.75" customHeight="1">
      <c r="E82" s="7" t="s">
        <v>1</v>
      </c>
      <c r="F82" s="7" t="s">
        <v>2</v>
      </c>
      <c r="G82" s="7" t="s">
        <v>3</v>
      </c>
      <c r="H82" s="7" t="s">
        <v>4</v>
      </c>
    </row>
    <row r="83" ht="15.75" customHeight="1">
      <c r="E83" s="8">
        <v>1540.0</v>
      </c>
      <c r="F83" s="8" t="s">
        <v>31</v>
      </c>
      <c r="G83" s="9">
        <v>4000000.0</v>
      </c>
      <c r="H83" s="7"/>
    </row>
    <row r="84" ht="15.75" customHeight="1">
      <c r="E84" s="8">
        <v>2305.0</v>
      </c>
      <c r="F84" s="8" t="s">
        <v>32</v>
      </c>
      <c r="G84" s="7"/>
      <c r="H84" s="9">
        <v>4000000.0</v>
      </c>
    </row>
    <row r="85" ht="15.75" customHeight="1"/>
    <row r="86" ht="15.75" customHeight="1">
      <c r="E86" s="10" t="s">
        <v>33</v>
      </c>
    </row>
    <row r="87" ht="15.75" customHeight="1"/>
    <row r="88" ht="15.75" customHeight="1">
      <c r="E88" s="7" t="s">
        <v>1</v>
      </c>
      <c r="F88" s="7" t="s">
        <v>2</v>
      </c>
      <c r="G88" s="7" t="s">
        <v>3</v>
      </c>
      <c r="H88" s="7" t="s">
        <v>4</v>
      </c>
    </row>
    <row r="89" ht="15.75" customHeight="1">
      <c r="E89" s="8">
        <v>1504.0</v>
      </c>
      <c r="F89" s="8" t="s">
        <v>34</v>
      </c>
      <c r="G89" s="9">
        <v>1.0E7</v>
      </c>
      <c r="H89" s="7"/>
    </row>
    <row r="90" ht="15.75" customHeight="1">
      <c r="E90" s="8">
        <v>1105.0</v>
      </c>
      <c r="F90" s="8" t="s">
        <v>6</v>
      </c>
      <c r="G90" s="7"/>
      <c r="H90" s="11">
        <f>G89*25%</f>
        <v>2500000</v>
      </c>
    </row>
    <row r="91" ht="15.75" customHeight="1">
      <c r="E91" s="8">
        <v>1110.0</v>
      </c>
      <c r="F91" s="8" t="s">
        <v>9</v>
      </c>
      <c r="G91" s="7"/>
      <c r="H91" s="11">
        <f>G89*75%</f>
        <v>7500000</v>
      </c>
    </row>
    <row r="92" ht="15.75" customHeight="1"/>
    <row r="93" ht="15.75" customHeight="1">
      <c r="E93" s="10" t="s">
        <v>35</v>
      </c>
    </row>
    <row r="94" ht="15.75" customHeight="1"/>
    <row r="95" ht="15.75" customHeight="1">
      <c r="E95" s="7" t="s">
        <v>1</v>
      </c>
      <c r="F95" s="7" t="s">
        <v>2</v>
      </c>
      <c r="G95" s="7" t="s">
        <v>3</v>
      </c>
      <c r="H95" s="7" t="s">
        <v>4</v>
      </c>
    </row>
    <row r="96" ht="15.75" customHeight="1">
      <c r="E96" s="8">
        <v>5110.0</v>
      </c>
      <c r="F96" s="8" t="s">
        <v>36</v>
      </c>
      <c r="G96" s="9">
        <v>3.0E7</v>
      </c>
      <c r="H96" s="7"/>
    </row>
    <row r="97" ht="15.75" customHeight="1">
      <c r="E97" s="8">
        <v>1110.0</v>
      </c>
      <c r="F97" s="8" t="s">
        <v>9</v>
      </c>
      <c r="G97" s="7"/>
      <c r="H97" s="9">
        <v>3.0E7</v>
      </c>
    </row>
    <row r="98" ht="15.75" customHeight="1"/>
    <row r="99" ht="15.75" customHeight="1">
      <c r="E99" s="10" t="s">
        <v>37</v>
      </c>
    </row>
    <row r="100" ht="15.75" customHeight="1"/>
    <row r="101" ht="15.75" customHeight="1">
      <c r="E101" s="7" t="s">
        <v>1</v>
      </c>
      <c r="F101" s="7" t="s">
        <v>2</v>
      </c>
      <c r="G101" s="7" t="s">
        <v>3</v>
      </c>
      <c r="H101" s="7" t="s">
        <v>4</v>
      </c>
    </row>
    <row r="102" ht="15.75" customHeight="1">
      <c r="E102" s="8">
        <v>5105.0</v>
      </c>
      <c r="F102" s="8" t="s">
        <v>38</v>
      </c>
      <c r="G102" s="9">
        <v>2.0E7</v>
      </c>
      <c r="H102" s="7"/>
    </row>
    <row r="103" ht="15.75" customHeight="1">
      <c r="E103" s="8">
        <v>1105.0</v>
      </c>
      <c r="F103" s="8" t="s">
        <v>6</v>
      </c>
      <c r="G103" s="7"/>
      <c r="H103" s="9">
        <v>2.0E7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1:M2"/>
    <mergeCell ref="E8:M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2025-10-25T15:09:47Z</dcterms:created>
  <dc:creator>PC202506</dc:creator>
</cp:coreProperties>
</file>